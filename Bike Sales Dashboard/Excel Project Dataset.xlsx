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dsrir\Downloads\"/>
    </mc:Choice>
  </mc:AlternateContent>
  <xr:revisionPtr revIDLastSave="0" documentId="13_ncr:1_{3075C029-AB9B-439E-8F4E-8E9C183159A2}" xr6:coauthVersionLast="47" xr6:coauthVersionMax="47" xr10:uidLastSave="{00000000-0000-0000-0000-000000000000}"/>
  <bookViews>
    <workbookView xWindow="-110" yWindow="-110" windowWidth="22620" windowHeight="13500" activeTab="3" xr2:uid="{00000000-000D-0000-FFFF-FFFF00000000}"/>
  </bookViews>
  <sheets>
    <sheet name="bike_buyers" sheetId="1" r:id="rId1"/>
    <sheet name="working copy" sheetId="2" r:id="rId2"/>
    <sheet name="Pivot Table" sheetId="5" r:id="rId3"/>
    <sheet name="Dashboard" sheetId="4" r:id="rId4"/>
  </sheets>
  <definedNames>
    <definedName name="_xlnm._FilterDatabase" localSheetId="0" hidden="1">bike_buyers!$A$1:$M$1001</definedName>
    <definedName name="_xlnm._FilterDatabase" localSheetId="1" hidden="1">'working copy'!$A$1:$N$1</definedName>
    <definedName name="Slicer_Education">#N/A</definedName>
    <definedName name="Slicer_Marital_Status">#N/A</definedName>
    <definedName name="Slicer_Region">#N/A</definedName>
  </definedNames>
  <calcPr calcId="191029"/>
  <pivotCaches>
    <pivotCache cacheId="4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<sst xmlns="http://schemas.openxmlformats.org/spreadsheetml/2006/main" count="16267" uniqueCount="51">
  <si>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</si>
  <si>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</si>
  <si>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</si>
  <si>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</si>
  <si>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</si>
  <si>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</si>
  <si>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</si>
  <si>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</si>
  <si>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</si>
  <si>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</si>
  <si>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</si>
  <si>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</si>
  <si>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</si>
  <si>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</si>
  <si>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</si>
  <si>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</si>
  <si>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</si>
  <si>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</si>
  <si>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</si>
  <si>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</si>
  <si>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</si>
  <si>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</si>
  <si>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</si>
  <si>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</si>
  <si>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</si>
  <si>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</si>
  <si>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</si>
  <si>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</si>
  <si>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</si>
  <si>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</si>
  <si>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</si>
  <si>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</si>
  <si>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</si>
  <si>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</si>
  <si>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</si>
  <si>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</si>
  <si>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</si>
  <si>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</si>
  <si>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</si>
  <si>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</si>
  <si>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Row Labels</t>
  </si>
  <si>
    <t>Grand Total</t>
  </si>
  <si>
    <t>Average of Income</t>
  </si>
  <si>
    <t>Column Labels</t>
  </si>
  <si>
    <t>Age Brackets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</si>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</sst>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6"/>
      <color theme="0"/>
      <name val="Calibri"/>
      <family val="2"/>
      <scheme val="minor"/>
    </font>
    <font>
      <sz val="2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69" fontId="0" fillId="0" borderId="0" xfId="0" applyNumberFormat="1"/>
    <xf numFmtId="0" fontId="19" fillId="33" borderId="0" xfId="0" applyFont="1" applyFill="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_(* #,##0_);_(* \(#,##0\);_(* "-"??_);_(@_)</c:formatCode>
                <c:ptCount val="2"/>
                <c:pt idx="0">
                  <c:v>85000</c:v>
                </c:pt>
                <c:pt idx="1">
                  <c:v>78181.818181818177</c:v>
                </c:pt>
              </c:numCache>
            </c:numRef>
          </c:val>
          <c:extLst>
            <c:ext xmlns:c16="http://schemas.microsoft.com/office/drawing/2014/chart" uri="{C3380CC4-5D6E-409C-BE32-E72D297353CC}">
              <c16:uniqueId val="{00000000-981B-4A08-ADC4-E5F10A37AF3C}"/>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_(* #,##0_);_(* \(#,##0\);_(* "-"??_);_(@_)</c:formatCode>
                <c:ptCount val="2"/>
                <c:pt idx="0">
                  <c:v>68750</c:v>
                </c:pt>
                <c:pt idx="1">
                  <c:v>72727.272727272721</c:v>
                </c:pt>
              </c:numCache>
            </c:numRef>
          </c:val>
          <c:extLst>
            <c:ext xmlns:c16="http://schemas.microsoft.com/office/drawing/2014/chart" uri="{C3380CC4-5D6E-409C-BE32-E72D297353CC}">
              <c16:uniqueId val="{00000001-981B-4A08-ADC4-E5F10A37AF3C}"/>
            </c:ext>
          </c:extLst>
        </c:ser>
        <c:dLbls>
          <c:showLegendKey val="0"/>
          <c:showVal val="0"/>
          <c:showCatName val="0"/>
          <c:showSerName val="0"/>
          <c:showPercent val="0"/>
          <c:showBubbleSize val="0"/>
        </c:dLbls>
        <c:gapWidth val="219"/>
        <c:overlap val="-27"/>
        <c:axId val="1304654095"/>
        <c:axId val="1304658415"/>
      </c:barChart>
      <c:catAx>
        <c:axId val="1304654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658415"/>
        <c:crosses val="autoZero"/>
        <c:auto val="1"/>
        <c:lblAlgn val="ctr"/>
        <c:lblOffset val="100"/>
        <c:noMultiLvlLbl val="0"/>
      </c:catAx>
      <c:valAx>
        <c:axId val="1304658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6540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7F55-404C-8042-447C7109D00E}"/>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7F55-404C-8042-447C7109D00E}"/>
            </c:ext>
          </c:extLst>
        </c:ser>
        <c:dLbls>
          <c:showLegendKey val="0"/>
          <c:showVal val="0"/>
          <c:showCatName val="0"/>
          <c:showSerName val="0"/>
          <c:showPercent val="0"/>
          <c:showBubbleSize val="0"/>
        </c:dLbls>
        <c:smooth val="0"/>
        <c:axId val="1304691535"/>
        <c:axId val="1304692975"/>
      </c:lineChart>
      <c:catAx>
        <c:axId val="1304691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692975"/>
        <c:crosses val="autoZero"/>
        <c:auto val="1"/>
        <c:lblAlgn val="ctr"/>
        <c:lblOffset val="100"/>
        <c:noMultiLvlLbl val="0"/>
      </c:catAx>
      <c:valAx>
        <c:axId val="1304692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69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1</c:v>
                </c:pt>
                <c:pt idx="1">
                  <c:v>12</c:v>
                </c:pt>
                <c:pt idx="2">
                  <c:v>2</c:v>
                </c:pt>
              </c:numCache>
            </c:numRef>
          </c:val>
          <c:smooth val="0"/>
          <c:extLst>
            <c:ext xmlns:c16="http://schemas.microsoft.com/office/drawing/2014/chart" uri="{C3380CC4-5D6E-409C-BE32-E72D297353CC}">
              <c16:uniqueId val="{00000000-C78F-432B-80A2-4900B358713D}"/>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4</c:v>
                </c:pt>
                <c:pt idx="1">
                  <c:v>13</c:v>
                </c:pt>
                <c:pt idx="2">
                  <c:v>2</c:v>
                </c:pt>
              </c:numCache>
            </c:numRef>
          </c:val>
          <c:smooth val="0"/>
          <c:extLst>
            <c:ext xmlns:c16="http://schemas.microsoft.com/office/drawing/2014/chart" uri="{C3380CC4-5D6E-409C-BE32-E72D297353CC}">
              <c16:uniqueId val="{00000001-C78F-432B-80A2-4900B358713D}"/>
            </c:ext>
          </c:extLst>
        </c:ser>
        <c:dLbls>
          <c:showLegendKey val="0"/>
          <c:showVal val="0"/>
          <c:showCatName val="0"/>
          <c:showSerName val="0"/>
          <c:showPercent val="0"/>
          <c:showBubbleSize val="0"/>
        </c:dLbls>
        <c:marker val="1"/>
        <c:smooth val="0"/>
        <c:axId val="1180292847"/>
        <c:axId val="1180291887"/>
      </c:lineChart>
      <c:catAx>
        <c:axId val="1180292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291887"/>
        <c:crosses val="autoZero"/>
        <c:auto val="1"/>
        <c:lblAlgn val="ctr"/>
        <c:lblOffset val="100"/>
        <c:noMultiLvlLbl val="0"/>
      </c:catAx>
      <c:valAx>
        <c:axId val="118029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29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_(* #,##0_);_(* \(#,##0\);_(* "-"??_);_(@_)</c:formatCode>
                <c:ptCount val="2"/>
                <c:pt idx="0">
                  <c:v>85000</c:v>
                </c:pt>
                <c:pt idx="1">
                  <c:v>78181.818181818177</c:v>
                </c:pt>
              </c:numCache>
            </c:numRef>
          </c:val>
          <c:extLst>
            <c:ext xmlns:c16="http://schemas.microsoft.com/office/drawing/2014/chart" uri="{C3380CC4-5D6E-409C-BE32-E72D297353CC}">
              <c16:uniqueId val="{00000000-28BC-4A93-B150-5E3D0033F517}"/>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_(* #,##0_);_(* \(#,##0\);_(* "-"??_);_(@_)</c:formatCode>
                <c:ptCount val="2"/>
                <c:pt idx="0">
                  <c:v>68750</c:v>
                </c:pt>
                <c:pt idx="1">
                  <c:v>72727.272727272721</c:v>
                </c:pt>
              </c:numCache>
            </c:numRef>
          </c:val>
          <c:extLst>
            <c:ext xmlns:c16="http://schemas.microsoft.com/office/drawing/2014/chart" uri="{C3380CC4-5D6E-409C-BE32-E72D297353CC}">
              <c16:uniqueId val="{00000001-28BC-4A93-B150-5E3D0033F517}"/>
            </c:ext>
          </c:extLst>
        </c:ser>
        <c:dLbls>
          <c:showLegendKey val="0"/>
          <c:showVal val="0"/>
          <c:showCatName val="0"/>
          <c:showSerName val="0"/>
          <c:showPercent val="0"/>
          <c:showBubbleSize val="0"/>
        </c:dLbls>
        <c:gapWidth val="219"/>
        <c:overlap val="-27"/>
        <c:axId val="1304654095"/>
        <c:axId val="1304658415"/>
      </c:barChart>
      <c:catAx>
        <c:axId val="1304654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658415"/>
        <c:crosses val="autoZero"/>
        <c:auto val="1"/>
        <c:lblAlgn val="ctr"/>
        <c:lblOffset val="100"/>
        <c:noMultiLvlLbl val="0"/>
      </c:catAx>
      <c:valAx>
        <c:axId val="1304658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6540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06A4-4307-9FED-85A6FCB773CF}"/>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06A4-4307-9FED-85A6FCB773CF}"/>
            </c:ext>
          </c:extLst>
        </c:ser>
        <c:dLbls>
          <c:showLegendKey val="0"/>
          <c:showVal val="0"/>
          <c:showCatName val="0"/>
          <c:showSerName val="0"/>
          <c:showPercent val="0"/>
          <c:showBubbleSize val="0"/>
        </c:dLbls>
        <c:smooth val="0"/>
        <c:axId val="1304691535"/>
        <c:axId val="1304692975"/>
      </c:lineChart>
      <c:catAx>
        <c:axId val="1304691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692975"/>
        <c:crosses val="autoZero"/>
        <c:auto val="1"/>
        <c:lblAlgn val="ctr"/>
        <c:lblOffset val="100"/>
        <c:noMultiLvlLbl val="0"/>
      </c:catAx>
      <c:valAx>
        <c:axId val="1304692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69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1</c:v>
                </c:pt>
                <c:pt idx="1">
                  <c:v>12</c:v>
                </c:pt>
                <c:pt idx="2">
                  <c:v>2</c:v>
                </c:pt>
              </c:numCache>
            </c:numRef>
          </c:val>
          <c:smooth val="0"/>
          <c:extLst>
            <c:ext xmlns:c16="http://schemas.microsoft.com/office/drawing/2014/chart" uri="{C3380CC4-5D6E-409C-BE32-E72D297353CC}">
              <c16:uniqueId val="{00000000-247D-4C84-A208-91F511123D91}"/>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4</c:v>
                </c:pt>
                <c:pt idx="1">
                  <c:v>13</c:v>
                </c:pt>
                <c:pt idx="2">
                  <c:v>2</c:v>
                </c:pt>
              </c:numCache>
            </c:numRef>
          </c:val>
          <c:smooth val="0"/>
          <c:extLst>
            <c:ext xmlns:c16="http://schemas.microsoft.com/office/drawing/2014/chart" uri="{C3380CC4-5D6E-409C-BE32-E72D297353CC}">
              <c16:uniqueId val="{00000001-247D-4C84-A208-91F511123D91}"/>
            </c:ext>
          </c:extLst>
        </c:ser>
        <c:dLbls>
          <c:showLegendKey val="0"/>
          <c:showVal val="0"/>
          <c:showCatName val="0"/>
          <c:showSerName val="0"/>
          <c:showPercent val="0"/>
          <c:showBubbleSize val="0"/>
        </c:dLbls>
        <c:marker val="1"/>
        <c:smooth val="0"/>
        <c:axId val="1180292847"/>
        <c:axId val="1180291887"/>
      </c:lineChart>
      <c:catAx>
        <c:axId val="1180292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291887"/>
        <c:crosses val="autoZero"/>
        <c:auto val="1"/>
        <c:lblAlgn val="ctr"/>
        <c:lblOffset val="100"/>
        <c:noMultiLvlLbl val="0"/>
      </c:catAx>
      <c:valAx>
        <c:axId val="118029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29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357674</xdr:colOff>
      <xdr:row>0</xdr:row>
      <xdr:rowOff>115466</xdr:rowOff>
    </xdr:from>
    <xdr:to>
      <xdr:col>10</xdr:col>
      <xdr:colOff>401734</xdr:colOff>
      <xdr:row>16</xdr:row>
      <xdr:rowOff>155511</xdr:rowOff>
    </xdr:to>
    <xdr:graphicFrame macro="">
      <xdr:nvGraphicFramePr>
        <xdr:cNvPr id="3" name="Chart 2">
          <a:extLst>
            <a:ext uri="{FF2B5EF4-FFF2-40B4-BE49-F238E27FC236}">
              <a16:creationId xmlns:a16="http://schemas.microsoft.com/office/drawing/2014/main" id="{4848417E-BBD9-CFC8-394E-6E7082713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344715</xdr:colOff>
      <xdr:row>18</xdr:row>
      <xdr:rowOff>168471</xdr:rowOff>
    </xdr:from>
    <xdr:to>
      <xdr:col>10</xdr:col>
      <xdr:colOff>434133</xdr:colOff>
      <xdr:row>32</xdr:row>
      <xdr:rowOff>32399</xdr:rowOff>
    </xdr:to>
    <xdr:graphicFrame macro="">
      <xdr:nvGraphicFramePr>
        <xdr:cNvPr id="5" name="Chart 4">
          <a:extLst>
            <a:ext uri="{FF2B5EF4-FFF2-40B4-BE49-F238E27FC236}">
              <a16:creationId xmlns:a16="http://schemas.microsoft.com/office/drawing/2014/main" id="{907A63DE-EC38-18A5-9E07-238270F11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266958</xdr:colOff>
      <xdr:row>34</xdr:row>
      <xdr:rowOff>5313</xdr:rowOff>
    </xdr:from>
    <xdr:to>
      <xdr:col>10</xdr:col>
      <xdr:colOff>485970</xdr:colOff>
      <xdr:row>48</xdr:row>
      <xdr:rowOff>0</xdr:rowOff>
    </xdr:to>
    <xdr:graphicFrame macro="">
      <xdr:nvGraphicFramePr>
        <xdr:cNvPr id="6" name="Chart 5">
          <a:extLst>
            <a:ext uri="{FF2B5EF4-FFF2-40B4-BE49-F238E27FC236}">
              <a16:creationId xmlns:a16="http://schemas.microsoft.com/office/drawing/2014/main" id="{15F66F81-D6C2-9DD2-7FFB-3C27D8505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184151</xdr:colOff>
      <xdr:row>4</xdr:row>
      <xdr:rowOff>38100</xdr:rowOff>
    </xdr:from>
    <xdr:to>
      <xdr:col>9</xdr:col>
      <xdr:colOff>25400</xdr:colOff>
      <xdr:row>18</xdr:row>
      <xdr:rowOff>12700</xdr:rowOff>
    </xdr:to>
    <xdr:graphicFrame macro="">
      <xdr:nvGraphicFramePr>
        <xdr:cNvPr id="2" name="Chart 1">
          <a:extLst>
            <a:ext uri="{FF2B5EF4-FFF2-40B4-BE49-F238E27FC236}">
              <a16:creationId xmlns:a16="http://schemas.microsoft.com/office/drawing/2014/main" id="{6DD1A584-87F3-4BA5-A059-DDDC3208C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165100</xdr:colOff>
      <xdr:row>18</xdr:row>
      <xdr:rowOff>50800</xdr:rowOff>
    </xdr:from>
    <xdr:to>
      <xdr:col>14</xdr:col>
      <xdr:colOff>603250</xdr:colOff>
      <xdr:row>31</xdr:row>
      <xdr:rowOff>31750</xdr:rowOff>
    </xdr:to>
    <xdr:graphicFrame macro="">
      <xdr:nvGraphicFramePr>
        <xdr:cNvPr id="3" name="Chart 2">
          <a:extLst>
            <a:ext uri="{FF2B5EF4-FFF2-40B4-BE49-F238E27FC236}">
              <a16:creationId xmlns:a16="http://schemas.microsoft.com/office/drawing/2014/main" id="{78302B30-8148-47EF-AC79-D2BF67A69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63499</xdr:colOff>
      <xdr:row>4</xdr:row>
      <xdr:rowOff>44450</xdr:rowOff>
    </xdr:from>
    <xdr:to>
      <xdr:col>14</xdr:col>
      <xdr:colOff>603250</xdr:colOff>
      <xdr:row>18</xdr:row>
      <xdr:rowOff>19050</xdr:rowOff>
    </xdr:to>
    <xdr:graphicFrame macro="">
      <xdr:nvGraphicFramePr>
        <xdr:cNvPr id="4" name="Chart 3">
          <a:extLst>
            <a:ext uri="{FF2B5EF4-FFF2-40B4-BE49-F238E27FC236}">
              <a16:creationId xmlns:a16="http://schemas.microsoft.com/office/drawing/2014/main" id="{13D58E2B-0952-4EA7-9065-5CAD31F78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4</xdr:row>
      <xdr:rowOff>25401</xdr:rowOff>
    </xdr:from>
    <xdr:to>
      <xdr:col>3</xdr:col>
      <xdr:colOff>139700</xdr:colOff>
      <xdr:row>9</xdr:row>
      <xdr:rowOff>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A4635D7-FCD2-512F-73C0-827A079EA0C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9050" y="762001"/>
              <a:ext cx="194945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15</xdr:row>
      <xdr:rowOff>114301</xdr:rowOff>
    </xdr:from>
    <xdr:to>
      <xdr:col>3</xdr:col>
      <xdr:colOff>139700</xdr:colOff>
      <xdr:row>25</xdr:row>
      <xdr:rowOff>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4C2F323-CBA0-0AFB-DE8D-C83F38679F8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9050" y="2876551"/>
              <a:ext cx="1949450" cy="172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9</xdr:row>
      <xdr:rowOff>31751</xdr:rowOff>
    </xdr:from>
    <xdr:to>
      <xdr:col>3</xdr:col>
      <xdr:colOff>133350</xdr:colOff>
      <xdr:row>15</xdr:row>
      <xdr:rowOff>88901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0C17D35-BC0E-3E2C-CF2E-A8B546B27C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400" y="1689101"/>
              <a:ext cx="193675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akar Sriram" refreshedDate="46220.561097569444" createdVersion="8" refreshedVersion="8" minRefreshableVersion="3" recordCount="1000" xr:uid="{448F5FFB-34ED-4309-A19A-614DE4C6DB1C}">
  <cacheSource type="worksheet">
    <worksheetSource ref="A1:N1001" sheet="working copy"/>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7">
        <s v="Middle Age"/>
        <s v="Old"/>
        <s v="Adolescent"/>
        <s v="Middle Age 31-54" u="1"/>
        <s v="Old 55+" u="1"/>
        <s v="Adolescent 0-30" u="1"/>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625161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0CEDD6-AACA-4C96-A5AC-13E1BA9931DA}" name="PivotTable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D43" firstHeaderRow="1" firstDataRow="2" firstDataCol="1"/>
  <pivotFields count="14">
    <pivotField showAll="0"/>
    <pivotField showAll="0">
      <items count="3">
        <item x="0"/>
        <item h="1" x="1"/>
        <item t="default"/>
      </items>
    </pivotField>
    <pivotField showAll="0"/>
    <pivotField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8">
        <item x="2"/>
        <item m="1" x="6"/>
        <item x="0"/>
        <item x="1"/>
        <item m="1" x="3"/>
        <item m="1" x="4"/>
        <item m="1" x="5"/>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2046C0-A1D9-411F-80D8-26E13721EB93}" name="PivotTable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D29" firstHeaderRow="1" firstDataRow="2" firstDataCol="1"/>
  <pivotFields count="14">
    <pivotField showAll="0"/>
    <pivotField showAll="0">
      <items count="3">
        <item x="0"/>
        <item h="1" x="1"/>
        <item t="default"/>
      </items>
    </pivotField>
    <pivotField showAll="0"/>
    <pivotField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31388D-9736-45AB-BD32-6E2CA5F0415E}"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D8"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9"/>
  </dataFields>
  <formats count="1">
    <format dxfId="2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0555432-1326-4714-A25C-001D4392E941}" sourceName="Marital Status">
  <pivotTables>
    <pivotTable tabId="5" name="PivotTable1"/>
    <pivotTable tabId="5" name="PivotTable2"/>
    <pivotTable tabId="5" name="PivotTable3"/>
  </pivotTables>
  <data>
    <tabular pivotCacheId="62516149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2D85167-54C9-417E-B2B8-697D811CBED8}" sourceName="Education">
  <pivotTables>
    <pivotTable tabId="5" name="PivotTable1"/>
    <pivotTable tabId="5" name="PivotTable2"/>
    <pivotTable tabId="5" name="PivotTable3"/>
  </pivotTables>
  <data>
    <tabular pivotCacheId="625161490">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B00CCE-76AA-4067-82C4-D7989F3A68E1}" sourceName="Region">
  <pivotTables>
    <pivotTable tabId="5" name="PivotTable1"/>
    <pivotTable tabId="5" name="PivotTable2"/>
    <pivotTable tabId="5" name="PivotTable3"/>
  </pivotTables>
  <data>
    <tabular pivotCacheId="625161490">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BA16617-A4F5-476E-A259-247ED9A2FC24}" cache="Slicer_Marital_Status" caption="Marital Status" rowHeight="241300"/>
  <slicer name="Education" xr10:uid="{9DBA93C2-3F23-431A-A288-4064CC97C15F}" cache="Slicer_Education" caption="Education" rowHeight="241300"/>
  <slicer name="Region" xr10:uid="{4F7C225E-1592-46DB-A1D5-A4F13A17042B}"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G22" sqref="G22"/>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6F0E4-3BA3-4861-BBC9-E05052FC368C}">
  <dimension ref="A1:N1001"/>
  <sheetViews>
    <sheetView workbookViewId="0">
      <selection activeCell="O16" activeCellId="1" sqref="N1 O16"/>
    </sheetView>
  </sheetViews>
  <sheetFormatPr defaultRowHeight="14.5" x14ac:dyDescent="0.35"/>
  <cols>
    <col min="4" max="4" width="12.54296875" customWidth="1"/>
    <col min="13" max="13" width="11.36328125" bestFit="1" customWidth="1"/>
    <col min="14" max="14" width="12.81640625" customWidth="1"/>
  </cols>
  <sheetData>
    <row r="1" spans="1:14" x14ac:dyDescent="0.35">
      <c r="A1" t="s">
        <v>0</v>
      </c>
      <c r="B1" t="s">
        <v>1</v>
      </c>
      <c r="C1" t="s">
        <v>2</v>
      </c>
      <c r="D1" t="s">
        <v>3</v>
      </c>
      <c r="E1" t="s">
        <v>4</v>
      </c>
      <c r="F1" t="s">
        <v>5</v>
      </c>
      <c r="G1" t="s">
        <v>6</v>
      </c>
      <c r="H1" t="s">
        <v>7</v>
      </c>
      <c r="I1" t="s">
        <v>8</v>
      </c>
      <c r="J1" t="s">
        <v>9</v>
      </c>
      <c r="K1" t="s">
        <v>10</v>
      </c>
      <c r="L1" t="s">
        <v>11</v>
      </c>
      <c r="M1" t="s">
        <v>44</v>
      </c>
      <c r="N1" t="s">
        <v>12</v>
      </c>
    </row>
    <row r="2" spans="1:14" x14ac:dyDescent="0.35">
      <c r="A2">
        <v>12496</v>
      </c>
      <c r="B2" t="s">
        <v>36</v>
      </c>
      <c r="C2" t="s">
        <v>38</v>
      </c>
      <c r="D2">
        <v>40000</v>
      </c>
      <c r="E2">
        <v>1</v>
      </c>
      <c r="F2" t="s">
        <v>13</v>
      </c>
      <c r="G2" t="s">
        <v>14</v>
      </c>
      <c r="H2" t="s">
        <v>15</v>
      </c>
      <c r="I2">
        <v>0</v>
      </c>
      <c r="J2" t="s">
        <v>16</v>
      </c>
      <c r="K2" t="s">
        <v>17</v>
      </c>
      <c r="L2">
        <v>42</v>
      </c>
      <c r="M2" t="str">
        <f>IF(L2&gt;54, "Old", IF(L2&gt;=31, "Middle Age",IF(L2&lt;31, "Adolescent", "Invalid")))</f>
        <v>Middle Age</v>
      </c>
      <c r="N2" t="s">
        <v>18</v>
      </c>
    </row>
    <row r="3" spans="1:14" x14ac:dyDescent="0.35">
      <c r="A3">
        <v>24107</v>
      </c>
      <c r="B3" t="s">
        <v>36</v>
      </c>
      <c r="C3" t="s">
        <v>39</v>
      </c>
      <c r="D3">
        <v>30000</v>
      </c>
      <c r="E3">
        <v>3</v>
      </c>
      <c r="F3" t="s">
        <v>19</v>
      </c>
      <c r="G3" t="s">
        <v>20</v>
      </c>
      <c r="H3" t="s">
        <v>15</v>
      </c>
      <c r="I3">
        <v>1</v>
      </c>
      <c r="J3" t="s">
        <v>16</v>
      </c>
      <c r="K3" t="s">
        <v>17</v>
      </c>
      <c r="L3">
        <v>43</v>
      </c>
      <c r="M3" t="str">
        <f t="shared" ref="M3:M66" si="0">IF(L3&gt;54, "Old", IF(L3&gt;=31, "Middle Age",IF(L3&lt;31, "Adolescent", "Invalid")))</f>
        <v>Middle Age</v>
      </c>
      <c r="N3" t="s">
        <v>18</v>
      </c>
    </row>
    <row r="4" spans="1:14" x14ac:dyDescent="0.35">
      <c r="A4">
        <v>14177</v>
      </c>
      <c r="B4" t="s">
        <v>36</v>
      </c>
      <c r="C4" t="s">
        <v>39</v>
      </c>
      <c r="D4">
        <v>80000</v>
      </c>
      <c r="E4">
        <v>5</v>
      </c>
      <c r="F4" t="s">
        <v>19</v>
      </c>
      <c r="G4" t="s">
        <v>21</v>
      </c>
      <c r="H4" t="s">
        <v>18</v>
      </c>
      <c r="I4">
        <v>2</v>
      </c>
      <c r="J4" t="s">
        <v>22</v>
      </c>
      <c r="K4" t="s">
        <v>17</v>
      </c>
      <c r="L4">
        <v>60</v>
      </c>
      <c r="M4" t="str">
        <f t="shared" si="0"/>
        <v>Old</v>
      </c>
      <c r="N4" t="s">
        <v>18</v>
      </c>
    </row>
    <row r="5" spans="1:14" x14ac:dyDescent="0.35">
      <c r="A5">
        <v>24381</v>
      </c>
      <c r="B5" t="s">
        <v>37</v>
      </c>
      <c r="C5" t="s">
        <v>39</v>
      </c>
      <c r="D5">
        <v>70000</v>
      </c>
      <c r="E5">
        <v>0</v>
      </c>
      <c r="F5" t="s">
        <v>13</v>
      </c>
      <c r="G5" t="s">
        <v>21</v>
      </c>
      <c r="H5" t="s">
        <v>15</v>
      </c>
      <c r="I5">
        <v>1</v>
      </c>
      <c r="J5" t="s">
        <v>23</v>
      </c>
      <c r="K5" t="s">
        <v>24</v>
      </c>
      <c r="L5">
        <v>41</v>
      </c>
      <c r="M5" t="str">
        <f t="shared" si="0"/>
        <v>Middle Age</v>
      </c>
      <c r="N5" t="s">
        <v>15</v>
      </c>
    </row>
    <row r="6" spans="1:14" x14ac:dyDescent="0.35">
      <c r="A6">
        <v>25597</v>
      </c>
      <c r="B6" t="s">
        <v>37</v>
      </c>
      <c r="C6" t="s">
        <v>39</v>
      </c>
      <c r="D6">
        <v>30000</v>
      </c>
      <c r="E6">
        <v>0</v>
      </c>
      <c r="F6" t="s">
        <v>13</v>
      </c>
      <c r="G6" t="s">
        <v>20</v>
      </c>
      <c r="H6" t="s">
        <v>18</v>
      </c>
      <c r="I6">
        <v>0</v>
      </c>
      <c r="J6" t="s">
        <v>16</v>
      </c>
      <c r="K6" t="s">
        <v>17</v>
      </c>
      <c r="L6">
        <v>36</v>
      </c>
      <c r="M6" t="str">
        <f t="shared" si="0"/>
        <v>Middle Age</v>
      </c>
      <c r="N6" t="s">
        <v>15</v>
      </c>
    </row>
    <row r="7" spans="1:14" x14ac:dyDescent="0.35">
      <c r="A7">
        <v>13507</v>
      </c>
      <c r="B7" t="s">
        <v>36</v>
      </c>
      <c r="C7" t="s">
        <v>38</v>
      </c>
      <c r="D7">
        <v>10000</v>
      </c>
      <c r="E7">
        <v>2</v>
      </c>
      <c r="F7" t="s">
        <v>19</v>
      </c>
      <c r="G7" t="s">
        <v>25</v>
      </c>
      <c r="H7" t="s">
        <v>15</v>
      </c>
      <c r="I7">
        <v>0</v>
      </c>
      <c r="J7" t="s">
        <v>26</v>
      </c>
      <c r="K7" t="s">
        <v>17</v>
      </c>
      <c r="L7">
        <v>50</v>
      </c>
      <c r="M7" t="str">
        <f t="shared" si="0"/>
        <v>Middle Age</v>
      </c>
      <c r="N7" t="s">
        <v>18</v>
      </c>
    </row>
    <row r="8" spans="1:14" x14ac:dyDescent="0.35">
      <c r="A8">
        <v>27974</v>
      </c>
      <c r="B8" t="s">
        <v>37</v>
      </c>
      <c r="C8" t="s">
        <v>39</v>
      </c>
      <c r="D8">
        <v>160000</v>
      </c>
      <c r="E8">
        <v>2</v>
      </c>
      <c r="F8" t="s">
        <v>27</v>
      </c>
      <c r="G8" t="s">
        <v>28</v>
      </c>
      <c r="H8" t="s">
        <v>15</v>
      </c>
      <c r="I8">
        <v>4</v>
      </c>
      <c r="J8" t="s">
        <v>16</v>
      </c>
      <c r="K8" t="s">
        <v>24</v>
      </c>
      <c r="L8">
        <v>33</v>
      </c>
      <c r="M8" t="str">
        <f t="shared" si="0"/>
        <v>Middle Age</v>
      </c>
      <c r="N8" t="s">
        <v>15</v>
      </c>
    </row>
    <row r="9" spans="1:14" x14ac:dyDescent="0.35">
      <c r="A9">
        <v>19364</v>
      </c>
      <c r="B9" t="s">
        <v>36</v>
      </c>
      <c r="C9" t="s">
        <v>39</v>
      </c>
      <c r="D9">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v>30000</v>
      </c>
      <c r="E67">
        <v>2</v>
      </c>
      <c r="F67" t="s">
        <v>19</v>
      </c>
      <c r="G67" t="s">
        <v>20</v>
      </c>
      <c r="H67" t="s">
        <v>15</v>
      </c>
      <c r="I67">
        <v>2</v>
      </c>
      <c r="J67" t="s">
        <v>23</v>
      </c>
      <c r="K67" t="s">
        <v>24</v>
      </c>
      <c r="L67">
        <v>68</v>
      </c>
      <c r="M67" t="str">
        <f t="shared" ref="M67:M130" si="1">IF(L67&gt;54, "Old", IF(L67&gt;=31, "Middle Age",IF(L67&lt;31, "Adolescent", "Invalid")))</f>
        <v>Old</v>
      </c>
      <c r="N67" t="s">
        <v>18</v>
      </c>
    </row>
    <row r="68" spans="1:14" x14ac:dyDescent="0.35">
      <c r="A68">
        <v>29355</v>
      </c>
      <c r="B68" t="s">
        <v>36</v>
      </c>
      <c r="C68" t="s">
        <v>38</v>
      </c>
      <c r="D68">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v>10000</v>
      </c>
      <c r="E131">
        <v>3</v>
      </c>
      <c r="F131" t="s">
        <v>27</v>
      </c>
      <c r="G131" t="s">
        <v>25</v>
      </c>
      <c r="H131" t="s">
        <v>15</v>
      </c>
      <c r="I131">
        <v>1</v>
      </c>
      <c r="J131" t="s">
        <v>16</v>
      </c>
      <c r="K131" t="s">
        <v>17</v>
      </c>
      <c r="L131">
        <v>39</v>
      </c>
      <c r="M131" t="str">
        <f t="shared" ref="M131:M194" si="2">IF(L131&gt;54, "Old", IF(L131&gt;=31, "Middle Age",IF(L131&lt;31, "Adolescent", "Invalid")))</f>
        <v>Middle Age</v>
      </c>
      <c r="N131" t="s">
        <v>15</v>
      </c>
    </row>
    <row r="132" spans="1:14" x14ac:dyDescent="0.35">
      <c r="A132">
        <v>12993</v>
      </c>
      <c r="B132" t="s">
        <v>36</v>
      </c>
      <c r="C132" t="s">
        <v>39</v>
      </c>
      <c r="D132">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v>70000</v>
      </c>
      <c r="E195">
        <v>5</v>
      </c>
      <c r="F195" t="s">
        <v>13</v>
      </c>
      <c r="G195" t="s">
        <v>21</v>
      </c>
      <c r="H195" t="s">
        <v>15</v>
      </c>
      <c r="I195">
        <v>4</v>
      </c>
      <c r="J195" t="s">
        <v>46</v>
      </c>
      <c r="K195" t="s">
        <v>24</v>
      </c>
      <c r="L195">
        <v>41</v>
      </c>
      <c r="M195" t="str">
        <f t="shared" ref="M195:M258" si="3">IF(L195&gt;54, "Old", IF(L195&gt;=31, "Middle Age",IF(L195&lt;31, "Adolescent", "Invalid")))</f>
        <v>Middle Age</v>
      </c>
      <c r="N195" t="s">
        <v>18</v>
      </c>
    </row>
    <row r="196" spans="1:14" x14ac:dyDescent="0.35">
      <c r="A196">
        <v>17843</v>
      </c>
      <c r="B196" t="s">
        <v>37</v>
      </c>
      <c r="C196" t="s">
        <v>38</v>
      </c>
      <c r="D196">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v>50000</v>
      </c>
      <c r="E259">
        <v>0</v>
      </c>
      <c r="F259" t="s">
        <v>31</v>
      </c>
      <c r="G259" t="s">
        <v>14</v>
      </c>
      <c r="H259" t="s">
        <v>15</v>
      </c>
      <c r="I259">
        <v>0</v>
      </c>
      <c r="J259" t="s">
        <v>16</v>
      </c>
      <c r="K259" t="s">
        <v>17</v>
      </c>
      <c r="L259">
        <v>36</v>
      </c>
      <c r="M259" t="str">
        <f t="shared" ref="M259:M322" si="4">IF(L259&gt;54, "Old", IF(L259&gt;=31, "Middle Age",IF(L259&lt;31, "Adolescent", "Invalid")))</f>
        <v>Middle Age</v>
      </c>
      <c r="N259" t="s">
        <v>15</v>
      </c>
    </row>
    <row r="260" spans="1:14" x14ac:dyDescent="0.35">
      <c r="A260">
        <v>14193</v>
      </c>
      <c r="B260" t="s">
        <v>37</v>
      </c>
      <c r="C260" t="s">
        <v>38</v>
      </c>
      <c r="D260">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v>160000</v>
      </c>
      <c r="E323">
        <v>0</v>
      </c>
      <c r="F323" t="s">
        <v>31</v>
      </c>
      <c r="G323" t="s">
        <v>28</v>
      </c>
      <c r="H323" t="s">
        <v>18</v>
      </c>
      <c r="I323">
        <v>3</v>
      </c>
      <c r="J323" t="s">
        <v>16</v>
      </c>
      <c r="K323" t="s">
        <v>24</v>
      </c>
      <c r="L323">
        <v>47</v>
      </c>
      <c r="M323" t="str">
        <f t="shared" ref="M323:M386" si="5">IF(L323&gt;54, "Old", IF(L323&gt;=31, "Middle Age",IF(L323&lt;31, "Adolescent", "Invalid")))</f>
        <v>Middle Age</v>
      </c>
      <c r="N323" t="s">
        <v>15</v>
      </c>
    </row>
    <row r="324" spans="1:14" x14ac:dyDescent="0.35">
      <c r="A324">
        <v>16410</v>
      </c>
      <c r="B324" t="s">
        <v>37</v>
      </c>
      <c r="C324" t="s">
        <v>38</v>
      </c>
      <c r="D324">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v>30000</v>
      </c>
      <c r="E387">
        <v>3</v>
      </c>
      <c r="F387" t="s">
        <v>19</v>
      </c>
      <c r="G387" t="s">
        <v>20</v>
      </c>
      <c r="H387" t="s">
        <v>15</v>
      </c>
      <c r="I387">
        <v>0</v>
      </c>
      <c r="J387" t="s">
        <v>16</v>
      </c>
      <c r="K387" t="s">
        <v>17</v>
      </c>
      <c r="L387">
        <v>43</v>
      </c>
      <c r="M387" t="str">
        <f t="shared" ref="M387:M450" si="6">IF(L387&gt;54, "Old", IF(L387&gt;=31, "Middle Age",IF(L387&lt;31, "Adolescent", "Invalid")))</f>
        <v>Middle Age</v>
      </c>
      <c r="N387" t="s">
        <v>18</v>
      </c>
    </row>
    <row r="388" spans="1:14" x14ac:dyDescent="0.35">
      <c r="A388">
        <v>28957</v>
      </c>
      <c r="B388" t="s">
        <v>37</v>
      </c>
      <c r="C388" t="s">
        <v>38</v>
      </c>
      <c r="D388">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v>40000</v>
      </c>
      <c r="E451">
        <v>1</v>
      </c>
      <c r="F451" t="s">
        <v>13</v>
      </c>
      <c r="G451" t="s">
        <v>14</v>
      </c>
      <c r="H451" t="s">
        <v>15</v>
      </c>
      <c r="I451">
        <v>0</v>
      </c>
      <c r="J451" t="s">
        <v>16</v>
      </c>
      <c r="K451" t="s">
        <v>17</v>
      </c>
      <c r="L451">
        <v>42</v>
      </c>
      <c r="M451" t="str">
        <f t="shared" ref="M451:M514" si="7">IF(L451&gt;54, "Old", IF(L451&gt;=31, "Middle Age",IF(L451&lt;31, "Adolescent", "Invalid")))</f>
        <v>Middle Age</v>
      </c>
      <c r="N451" t="s">
        <v>18</v>
      </c>
    </row>
    <row r="452" spans="1:14" x14ac:dyDescent="0.35">
      <c r="A452">
        <v>16559</v>
      </c>
      <c r="B452" t="s">
        <v>37</v>
      </c>
      <c r="C452" t="s">
        <v>38</v>
      </c>
      <c r="D452">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v>60000</v>
      </c>
      <c r="E515">
        <v>4</v>
      </c>
      <c r="F515" t="s">
        <v>31</v>
      </c>
      <c r="G515" t="s">
        <v>28</v>
      </c>
      <c r="H515" t="s">
        <v>15</v>
      </c>
      <c r="I515">
        <v>2</v>
      </c>
      <c r="J515" t="s">
        <v>46</v>
      </c>
      <c r="K515" t="s">
        <v>32</v>
      </c>
      <c r="L515">
        <v>61</v>
      </c>
      <c r="M515" t="str">
        <f t="shared" ref="M515:M578" si="8">IF(L515&gt;54, "Old", IF(L515&gt;=31, "Middle Age",IF(L515&lt;31, "Adolescent", "Invalid")))</f>
        <v>Old</v>
      </c>
      <c r="N515" t="s">
        <v>15</v>
      </c>
    </row>
    <row r="516" spans="1:14" x14ac:dyDescent="0.35">
      <c r="A516">
        <v>19399</v>
      </c>
      <c r="B516" t="s">
        <v>37</v>
      </c>
      <c r="C516" t="s">
        <v>39</v>
      </c>
      <c r="D516">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v>120000</v>
      </c>
      <c r="E579">
        <v>1</v>
      </c>
      <c r="F579" t="s">
        <v>13</v>
      </c>
      <c r="G579" t="s">
        <v>28</v>
      </c>
      <c r="H579" t="s">
        <v>15</v>
      </c>
      <c r="I579">
        <v>4</v>
      </c>
      <c r="J579" t="s">
        <v>16</v>
      </c>
      <c r="K579" t="s">
        <v>32</v>
      </c>
      <c r="L579">
        <v>38</v>
      </c>
      <c r="M579" t="str">
        <f t="shared" ref="M579:M642" si="9">IF(L579&gt;54, "Old", IF(L579&gt;=31, "Middle Age",IF(L579&lt;31, "Adolescent", "Invalid")))</f>
        <v>Middle Age</v>
      </c>
      <c r="N579" t="s">
        <v>18</v>
      </c>
    </row>
    <row r="580" spans="1:14" x14ac:dyDescent="0.35">
      <c r="A580">
        <v>15313</v>
      </c>
      <c r="B580" t="s">
        <v>36</v>
      </c>
      <c r="C580" t="s">
        <v>39</v>
      </c>
      <c r="D580">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v>50000</v>
      </c>
      <c r="E643">
        <v>4</v>
      </c>
      <c r="F643" t="s">
        <v>13</v>
      </c>
      <c r="G643" t="s">
        <v>28</v>
      </c>
      <c r="H643" t="s">
        <v>15</v>
      </c>
      <c r="I643">
        <v>2</v>
      </c>
      <c r="J643" t="s">
        <v>46</v>
      </c>
      <c r="K643" t="s">
        <v>32</v>
      </c>
      <c r="L643">
        <v>64</v>
      </c>
      <c r="M643" t="str">
        <f t="shared" ref="M643:M706" si="10">IF(L643&gt;54, "Old", IF(L643&gt;=31, "Middle Age",IF(L643&lt;31, "Adolescent", "Invalid")))</f>
        <v>Old</v>
      </c>
      <c r="N643" t="s">
        <v>18</v>
      </c>
    </row>
    <row r="644" spans="1:14" x14ac:dyDescent="0.35">
      <c r="A644">
        <v>21741</v>
      </c>
      <c r="B644" t="s">
        <v>36</v>
      </c>
      <c r="C644" t="s">
        <v>38</v>
      </c>
      <c r="D644">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v>70000</v>
      </c>
      <c r="E707">
        <v>4</v>
      </c>
      <c r="F707" t="s">
        <v>13</v>
      </c>
      <c r="G707" t="s">
        <v>28</v>
      </c>
      <c r="H707" t="s">
        <v>15</v>
      </c>
      <c r="I707">
        <v>1</v>
      </c>
      <c r="J707" t="s">
        <v>46</v>
      </c>
      <c r="K707" t="s">
        <v>32</v>
      </c>
      <c r="L707">
        <v>59</v>
      </c>
      <c r="M707" t="str">
        <f t="shared" ref="M707:M770" si="11">IF(L707&gt;54, "Old", IF(L707&gt;=31, "Middle Age",IF(L707&lt;31, "Adolescent", "Invalid")))</f>
        <v>Old</v>
      </c>
      <c r="N707" t="s">
        <v>18</v>
      </c>
    </row>
    <row r="708" spans="1:14" x14ac:dyDescent="0.35">
      <c r="A708">
        <v>20296</v>
      </c>
      <c r="B708" t="s">
        <v>37</v>
      </c>
      <c r="C708" t="s">
        <v>38</v>
      </c>
      <c r="D708">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v>100000</v>
      </c>
      <c r="E771">
        <v>4</v>
      </c>
      <c r="F771" t="s">
        <v>13</v>
      </c>
      <c r="G771" t="s">
        <v>28</v>
      </c>
      <c r="H771" t="s">
        <v>15</v>
      </c>
      <c r="I771">
        <v>4</v>
      </c>
      <c r="J771" t="s">
        <v>16</v>
      </c>
      <c r="K771" t="s">
        <v>32</v>
      </c>
      <c r="L771">
        <v>40</v>
      </c>
      <c r="M771" t="str">
        <f t="shared" ref="M771:M834" si="12">IF(L771&gt;54, "Old", IF(L771&gt;=31, "Middle Age",IF(L771&lt;31, "Adolescent", "Invalid")))</f>
        <v>Middle Age</v>
      </c>
      <c r="N771" t="s">
        <v>18</v>
      </c>
    </row>
    <row r="772" spans="1:14" x14ac:dyDescent="0.35">
      <c r="A772">
        <v>17699</v>
      </c>
      <c r="B772" t="s">
        <v>36</v>
      </c>
      <c r="C772" t="s">
        <v>39</v>
      </c>
      <c r="D772">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v>70000</v>
      </c>
      <c r="E835">
        <v>0</v>
      </c>
      <c r="F835" t="s">
        <v>13</v>
      </c>
      <c r="G835" t="s">
        <v>21</v>
      </c>
      <c r="H835" t="s">
        <v>18</v>
      </c>
      <c r="I835">
        <v>1</v>
      </c>
      <c r="J835" t="s">
        <v>16</v>
      </c>
      <c r="K835" t="s">
        <v>32</v>
      </c>
      <c r="L835">
        <v>37</v>
      </c>
      <c r="M835" t="str">
        <f t="shared" ref="M835:M898" si="13">IF(L835&gt;54, "Old", IF(L835&gt;=31, "Middle Age",IF(L835&lt;31, "Adolescent", "Invalid")))</f>
        <v>Middle Age</v>
      </c>
      <c r="N835" t="s">
        <v>15</v>
      </c>
    </row>
    <row r="836" spans="1:14" x14ac:dyDescent="0.35">
      <c r="A836">
        <v>19889</v>
      </c>
      <c r="B836" t="s">
        <v>37</v>
      </c>
      <c r="C836" t="s">
        <v>38</v>
      </c>
      <c r="D836">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v>30000</v>
      </c>
      <c r="E899">
        <v>0</v>
      </c>
      <c r="F899" t="s">
        <v>29</v>
      </c>
      <c r="G899" t="s">
        <v>20</v>
      </c>
      <c r="H899" t="s">
        <v>18</v>
      </c>
      <c r="I899">
        <v>2</v>
      </c>
      <c r="J899" t="s">
        <v>16</v>
      </c>
      <c r="K899" t="s">
        <v>32</v>
      </c>
      <c r="L899">
        <v>28</v>
      </c>
      <c r="M899" t="str">
        <f t="shared" ref="M899:M962" si="14">IF(L899&gt;54, "Old", IF(L899&gt;=31, "Middle Age",IF(L899&lt;31, "Adolescent", "Invalid")))</f>
        <v>Adolescent</v>
      </c>
      <c r="N899" t="s">
        <v>18</v>
      </c>
    </row>
    <row r="900" spans="1:14" x14ac:dyDescent="0.35">
      <c r="A900">
        <v>18066</v>
      </c>
      <c r="B900" t="s">
        <v>37</v>
      </c>
      <c r="C900" t="s">
        <v>39</v>
      </c>
      <c r="D900">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v>120000</v>
      </c>
      <c r="E963">
        <v>2</v>
      </c>
      <c r="F963" t="s">
        <v>13</v>
      </c>
      <c r="G963" t="s">
        <v>28</v>
      </c>
      <c r="H963" t="s">
        <v>15</v>
      </c>
      <c r="I963">
        <v>3</v>
      </c>
      <c r="J963" t="s">
        <v>23</v>
      </c>
      <c r="K963" t="s">
        <v>32</v>
      </c>
      <c r="L963">
        <v>62</v>
      </c>
      <c r="M963" t="str">
        <f t="shared" ref="M963:M1001" si="15">IF(L963&gt;54, "Old", IF(L963&gt;=31, "Middle Age",IF(L963&lt;31, "Adolescent", "Invalid")))</f>
        <v>Old</v>
      </c>
      <c r="N963" t="s">
        <v>18</v>
      </c>
    </row>
    <row r="964" spans="1:14" x14ac:dyDescent="0.35">
      <c r="A964">
        <v>16813</v>
      </c>
      <c r="B964" t="s">
        <v>36</v>
      </c>
      <c r="C964" t="s">
        <v>39</v>
      </c>
      <c r="D964">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v>60000</v>
      </c>
      <c r="E1001">
        <v>3</v>
      </c>
      <c r="F1001" t="s">
        <v>27</v>
      </c>
      <c r="G1001" t="s">
        <v>21</v>
      </c>
      <c r="H1001" t="s">
        <v>15</v>
      </c>
      <c r="I1001">
        <v>2</v>
      </c>
      <c r="J1001" t="s">
        <v>46</v>
      </c>
      <c r="K1001" t="s">
        <v>32</v>
      </c>
      <c r="L1001">
        <v>53</v>
      </c>
      <c r="M1001" t="str">
        <f t="shared" si="15"/>
        <v>Middle Age</v>
      </c>
      <c r="N1001" t="s">
        <v>15</v>
      </c>
    </row>
  </sheetData>
  <autoFilter ref="A1:N1" xr:uid="{3F46F0E4-3BA3-4861-BBC9-E05052FC368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005FE-FDE7-4182-90E8-36A23988C6E2}">
  <dimension ref="A4:D43"/>
  <sheetViews>
    <sheetView topLeftCell="A20" zoomScale="98" workbookViewId="0">
      <selection activeCell="N41" sqref="N41"/>
    </sheetView>
  </sheetViews>
  <sheetFormatPr defaultRowHeight="14.5" x14ac:dyDescent="0.35"/>
  <cols>
    <col min="1" max="1" width="22" bestFit="1" customWidth="1"/>
    <col min="2" max="2" width="15.54296875" bestFit="1" customWidth="1"/>
    <col min="3" max="3" width="3.7265625" bestFit="1" customWidth="1"/>
    <col min="4" max="4" width="10.90625" bestFit="1" customWidth="1"/>
    <col min="5" max="5" width="12.08984375" bestFit="1" customWidth="1"/>
  </cols>
  <sheetData>
    <row r="4" spans="1:4" x14ac:dyDescent="0.35">
      <c r="A4" s="3" t="s">
        <v>42</v>
      </c>
      <c r="B4" s="3" t="s">
        <v>43</v>
      </c>
    </row>
    <row r="5" spans="1:4" x14ac:dyDescent="0.35">
      <c r="A5" s="3" t="s">
        <v>40</v>
      </c>
      <c r="B5" t="s">
        <v>18</v>
      </c>
      <c r="C5" t="s">
        <v>15</v>
      </c>
      <c r="D5" t="s">
        <v>41</v>
      </c>
    </row>
    <row r="6" spans="1:4" x14ac:dyDescent="0.35">
      <c r="A6" s="4" t="s">
        <v>38</v>
      </c>
      <c r="B6" s="6">
        <v>85000</v>
      </c>
      <c r="C6" s="6">
        <v>68750</v>
      </c>
      <c r="D6" s="6">
        <v>74166.666666666672</v>
      </c>
    </row>
    <row r="7" spans="1:4" x14ac:dyDescent="0.35">
      <c r="A7" s="4" t="s">
        <v>39</v>
      </c>
      <c r="B7" s="6">
        <v>78181.818181818177</v>
      </c>
      <c r="C7" s="6">
        <v>72727.272727272721</v>
      </c>
      <c r="D7" s="6">
        <v>75454.545454545456</v>
      </c>
    </row>
    <row r="8" spans="1:4" x14ac:dyDescent="0.35">
      <c r="A8" s="4" t="s">
        <v>41</v>
      </c>
      <c r="B8" s="6">
        <v>80000</v>
      </c>
      <c r="C8" s="6">
        <v>71052.631578947374</v>
      </c>
      <c r="D8" s="6">
        <v>75000</v>
      </c>
    </row>
    <row r="22" spans="1:4" x14ac:dyDescent="0.35">
      <c r="A22" s="3" t="s">
        <v>45</v>
      </c>
      <c r="B22" s="3" t="s">
        <v>43</v>
      </c>
    </row>
    <row r="23" spans="1:4" x14ac:dyDescent="0.35">
      <c r="A23" s="3" t="s">
        <v>40</v>
      </c>
      <c r="B23" t="s">
        <v>18</v>
      </c>
      <c r="C23" t="s">
        <v>15</v>
      </c>
      <c r="D23" t="s">
        <v>41</v>
      </c>
    </row>
    <row r="24" spans="1:4" x14ac:dyDescent="0.35">
      <c r="A24" s="4" t="s">
        <v>16</v>
      </c>
      <c r="B24" s="5">
        <v>2</v>
      </c>
      <c r="C24" s="5">
        <v>9</v>
      </c>
      <c r="D24" s="5">
        <v>11</v>
      </c>
    </row>
    <row r="25" spans="1:4" x14ac:dyDescent="0.35">
      <c r="A25" s="4" t="s">
        <v>26</v>
      </c>
      <c r="B25" s="5">
        <v>2</v>
      </c>
      <c r="C25" s="5">
        <v>3</v>
      </c>
      <c r="D25" s="5">
        <v>5</v>
      </c>
    </row>
    <row r="26" spans="1:4" x14ac:dyDescent="0.35">
      <c r="A26" s="4" t="s">
        <v>22</v>
      </c>
      <c r="B26" s="5">
        <v>4</v>
      </c>
      <c r="C26" s="5">
        <v>3</v>
      </c>
      <c r="D26" s="5">
        <v>7</v>
      </c>
    </row>
    <row r="27" spans="1:4" x14ac:dyDescent="0.35">
      <c r="A27" s="4" t="s">
        <v>23</v>
      </c>
      <c r="B27" s="5">
        <v>3</v>
      </c>
      <c r="C27" s="5">
        <v>2</v>
      </c>
      <c r="D27" s="5">
        <v>5</v>
      </c>
    </row>
    <row r="28" spans="1:4" x14ac:dyDescent="0.35">
      <c r="A28" s="4" t="s">
        <v>46</v>
      </c>
      <c r="B28" s="5">
        <v>4</v>
      </c>
      <c r="C28" s="5">
        <v>2</v>
      </c>
      <c r="D28" s="5">
        <v>6</v>
      </c>
    </row>
    <row r="29" spans="1:4" x14ac:dyDescent="0.35">
      <c r="A29" s="4" t="s">
        <v>41</v>
      </c>
      <c r="B29" s="5">
        <v>15</v>
      </c>
      <c r="C29" s="5">
        <v>19</v>
      </c>
      <c r="D29" s="5">
        <v>34</v>
      </c>
    </row>
    <row r="38" spans="1:4" x14ac:dyDescent="0.35">
      <c r="A38" s="3" t="s">
        <v>45</v>
      </c>
      <c r="B38" s="3" t="s">
        <v>43</v>
      </c>
    </row>
    <row r="39" spans="1:4" x14ac:dyDescent="0.35">
      <c r="A39" s="3" t="s">
        <v>40</v>
      </c>
      <c r="B39" t="s">
        <v>18</v>
      </c>
      <c r="C39" t="s">
        <v>15</v>
      </c>
      <c r="D39" t="s">
        <v>41</v>
      </c>
    </row>
    <row r="40" spans="1:4" x14ac:dyDescent="0.35">
      <c r="A40" s="4" t="s">
        <v>47</v>
      </c>
      <c r="B40" s="5">
        <v>1</v>
      </c>
      <c r="C40" s="5">
        <v>4</v>
      </c>
      <c r="D40" s="5">
        <v>5</v>
      </c>
    </row>
    <row r="41" spans="1:4" x14ac:dyDescent="0.35">
      <c r="A41" s="4" t="s">
        <v>48</v>
      </c>
      <c r="B41" s="5">
        <v>12</v>
      </c>
      <c r="C41" s="5">
        <v>13</v>
      </c>
      <c r="D41" s="5">
        <v>25</v>
      </c>
    </row>
    <row r="42" spans="1:4" x14ac:dyDescent="0.35">
      <c r="A42" s="4" t="s">
        <v>49</v>
      </c>
      <c r="B42" s="5">
        <v>2</v>
      </c>
      <c r="C42" s="5">
        <v>2</v>
      </c>
      <c r="D42" s="5">
        <v>4</v>
      </c>
    </row>
    <row r="43" spans="1:4" x14ac:dyDescent="0.35">
      <c r="A43" s="4" t="s">
        <v>41</v>
      </c>
      <c r="B43" s="5">
        <v>15</v>
      </c>
      <c r="C43" s="5">
        <v>19</v>
      </c>
      <c r="D43" s="5">
        <v>34</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A19E-6253-40C3-861B-CC508E4CD0CC}">
  <dimension ref="A1:O4"/>
  <sheetViews>
    <sheetView showGridLines="0" tabSelected="1" workbookViewId="0">
      <selection activeCell="R19" sqref="R19"/>
    </sheetView>
  </sheetViews>
  <sheetFormatPr defaultRowHeight="14.5" x14ac:dyDescent="0.35"/>
  <cols>
    <col min="12" max="12" width="8.7265625" customWidth="1"/>
  </cols>
  <sheetData>
    <row r="1" spans="1:15" ht="14.5" customHeight="1" x14ac:dyDescent="0.35">
      <c r="A1" s="8" t="s">
        <v>50</v>
      </c>
      <c r="B1" s="7"/>
      <c r="C1" s="7"/>
      <c r="D1" s="7"/>
      <c r="E1" s="7"/>
      <c r="F1" s="7"/>
      <c r="G1" s="7"/>
      <c r="H1" s="7"/>
      <c r="I1" s="7"/>
      <c r="J1" s="7"/>
      <c r="K1" s="7"/>
      <c r="L1" s="7"/>
      <c r="M1" s="7"/>
      <c r="N1" s="7"/>
      <c r="O1" s="7"/>
    </row>
    <row r="2" spans="1:15" ht="14.5" customHeight="1" x14ac:dyDescent="0.35">
      <c r="A2" s="7"/>
      <c r="B2" s="7"/>
      <c r="C2" s="7"/>
      <c r="D2" s="7"/>
      <c r="E2" s="7"/>
      <c r="F2" s="7"/>
      <c r="G2" s="7"/>
      <c r="H2" s="7"/>
      <c r="I2" s="7"/>
      <c r="J2" s="7"/>
      <c r="K2" s="7"/>
      <c r="L2" s="7"/>
      <c r="M2" s="7"/>
      <c r="N2" s="7"/>
      <c r="O2" s="7"/>
    </row>
    <row r="3" spans="1:15" ht="14.5" customHeight="1" x14ac:dyDescent="0.35">
      <c r="A3" s="7"/>
      <c r="B3" s="7"/>
      <c r="C3" s="7"/>
      <c r="D3" s="7"/>
      <c r="E3" s="7"/>
      <c r="F3" s="7"/>
      <c r="G3" s="7"/>
      <c r="H3" s="7"/>
      <c r="I3" s="7"/>
      <c r="J3" s="7"/>
      <c r="K3" s="7"/>
      <c r="L3" s="7"/>
      <c r="M3" s="7"/>
      <c r="N3" s="7"/>
      <c r="O3" s="7"/>
    </row>
    <row r="4" spans="1:15" ht="14.5" customHeight="1" x14ac:dyDescent="0.35">
      <c r="A4" s="7"/>
      <c r="B4" s="7"/>
      <c r="C4" s="7"/>
      <c r="D4" s="7"/>
      <c r="E4" s="7"/>
      <c r="F4" s="7"/>
      <c r="G4" s="7"/>
      <c r="H4" s="7"/>
      <c r="I4" s="7"/>
      <c r="J4" s="7"/>
      <c r="K4" s="7"/>
      <c r="L4" s="7"/>
      <c r="M4" s="7"/>
      <c r="N4" s="7"/>
      <c r="O4" s="7"/>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copy</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Divakar Sriram</cp:lastModifiedBy>
  <dcterms:created xsi:type="dcterms:W3CDTF">2022-03-18T02:50:57Z</dcterms:created>
  <dcterms:modified xsi:type="dcterms:W3CDTF">2026-07-17T19:00:12Z</dcterms:modified>
</cp:coreProperties>
</file>